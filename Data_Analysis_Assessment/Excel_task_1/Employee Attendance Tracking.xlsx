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el_task\task-3\"/>
    </mc:Choice>
  </mc:AlternateContent>
  <bookViews>
    <workbookView xWindow="-110" yWindow="-110" windowWidth="19420" windowHeight="10300"/>
  </bookViews>
  <sheets>
    <sheet name="Employee_Attendance" sheetId="1" r:id="rId1"/>
    <sheet name="Absent_days" sheetId="2" r:id="rId2"/>
    <sheet name="working_days" sheetId="5" r:id="rId3"/>
    <sheet name="Attendance_summary" sheetId="4" r:id="rId4"/>
    <sheet name="Sheet2" sheetId="3" r:id="rId5"/>
  </sheet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2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" i="2"/>
  <c r="L4" i="2"/>
  <c r="L5" i="2"/>
  <c r="L6" i="2"/>
  <c r="L7" i="2"/>
  <c r="L8" i="2"/>
  <c r="L9" i="2"/>
  <c r="L10" i="2"/>
  <c r="L11" i="2"/>
  <c r="L2" i="2"/>
</calcChain>
</file>

<file path=xl/sharedStrings.xml><?xml version="1.0" encoding="utf-8"?>
<sst xmlns="http://schemas.openxmlformats.org/spreadsheetml/2006/main" count="764" uniqueCount="61">
  <si>
    <t>Employee Name</t>
  </si>
  <si>
    <t>Date</t>
  </si>
  <si>
    <t>Status</t>
  </si>
  <si>
    <t>Department</t>
  </si>
  <si>
    <t>Location</t>
  </si>
  <si>
    <t>Shift</t>
  </si>
  <si>
    <t>Manager</t>
  </si>
  <si>
    <t>Overtime Hours</t>
  </si>
  <si>
    <t>Rajesh Kumar</t>
  </si>
  <si>
    <t>Present</t>
  </si>
  <si>
    <t>Sales</t>
  </si>
  <si>
    <t>Delhi</t>
  </si>
  <si>
    <t>Morning</t>
  </si>
  <si>
    <t>Amit</t>
  </si>
  <si>
    <t>Neha Sharma</t>
  </si>
  <si>
    <t>Absent</t>
  </si>
  <si>
    <t>HR</t>
  </si>
  <si>
    <t>Mumbai</t>
  </si>
  <si>
    <t>Evening</t>
  </si>
  <si>
    <t>Priya</t>
  </si>
  <si>
    <t>Arun Patel</t>
  </si>
  <si>
    <t>Finance</t>
  </si>
  <si>
    <t>Bangalore</t>
  </si>
  <si>
    <t>Ravi</t>
  </si>
  <si>
    <t>Priya Verma</t>
  </si>
  <si>
    <t>IT</t>
  </si>
  <si>
    <t>Chennai</t>
  </si>
  <si>
    <t>Night</t>
  </si>
  <si>
    <t>Mohit</t>
  </si>
  <si>
    <t>Anil Mehta</t>
  </si>
  <si>
    <t>Neha</t>
  </si>
  <si>
    <t>Aarti Desai</t>
  </si>
  <si>
    <t>Rahul Reddy</t>
  </si>
  <si>
    <t>Suman Gupta</t>
  </si>
  <si>
    <t>Vijay Rao</t>
  </si>
  <si>
    <t>Kiran Patel</t>
  </si>
  <si>
    <t>Meera Shah</t>
  </si>
  <si>
    <t>Sunil Chawla</t>
  </si>
  <si>
    <t>Manoj Kumar</t>
  </si>
  <si>
    <t>Sneha Nair</t>
  </si>
  <si>
    <t>Ramesh Yadav</t>
  </si>
  <si>
    <t>Sonali Gupta</t>
  </si>
  <si>
    <t>Deepak Sharma</t>
  </si>
  <si>
    <t>Sushma Patel</t>
  </si>
  <si>
    <t>Rajni Mehta</t>
  </si>
  <si>
    <t>Amit Rawat</t>
  </si>
  <si>
    <t>Geeta Singh</t>
  </si>
  <si>
    <t>Rajesh Sharma</t>
  </si>
  <si>
    <t>Mohit Kumar</t>
  </si>
  <si>
    <t>Neelam Gupta</t>
  </si>
  <si>
    <t>Nisha Rao</t>
  </si>
  <si>
    <t>Sunita Desai</t>
  </si>
  <si>
    <t>Pankaj Yadav</t>
  </si>
  <si>
    <t>Snehal Verma</t>
  </si>
  <si>
    <t>Rani Kapoor</t>
  </si>
  <si>
    <t>Absent Days</t>
  </si>
  <si>
    <t>Row Labels</t>
  </si>
  <si>
    <t>Grand Total</t>
  </si>
  <si>
    <t>Count of Status</t>
  </si>
  <si>
    <t>Number of working days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</si>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</sst>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Attendance Tracking.xlsx]Attendance_summary!PivotTable1</c:name>
    <c:fmtId val="0"/>
  </c:pivotSource>
  <c:chart>
    <c:title>
      <c:layout>
        <c:manualLayout>
          <c:xMode val="edge"/>
          <c:yMode val="edge"/>
          <c:x val="0.64503816793893132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Attendance_summary!$B$3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Attendance_summary!$A$4:$A$33</c:f>
              <c:strCache>
                <c:ptCount val="29"/>
                <c:pt idx="0">
                  <c:v>Aarti Desai</c:v>
                </c:pt>
                <c:pt idx="1">
                  <c:v>Amit Rawat</c:v>
                </c:pt>
                <c:pt idx="2">
                  <c:v>Anil Mehta</c:v>
                </c:pt>
                <c:pt idx="3">
                  <c:v>Arun Patel</c:v>
                </c:pt>
                <c:pt idx="4">
                  <c:v>Deepak Sharma</c:v>
                </c:pt>
                <c:pt idx="5">
                  <c:v>Geeta Singh</c:v>
                </c:pt>
                <c:pt idx="6">
                  <c:v>Kiran Patel</c:v>
                </c:pt>
                <c:pt idx="7">
                  <c:v>Manoj Kumar</c:v>
                </c:pt>
                <c:pt idx="8">
                  <c:v>Meera Shah</c:v>
                </c:pt>
                <c:pt idx="9">
                  <c:v>Mohit Kumar</c:v>
                </c:pt>
                <c:pt idx="10">
                  <c:v>Neelam Gupta</c:v>
                </c:pt>
                <c:pt idx="11">
                  <c:v>Neha Sharma</c:v>
                </c:pt>
                <c:pt idx="12">
                  <c:v>Nisha Rao</c:v>
                </c:pt>
                <c:pt idx="13">
                  <c:v>Pankaj Yadav</c:v>
                </c:pt>
                <c:pt idx="14">
                  <c:v>Priya Verma</c:v>
                </c:pt>
                <c:pt idx="15">
                  <c:v>Rahul Reddy</c:v>
                </c:pt>
                <c:pt idx="16">
                  <c:v>Rajesh Kumar</c:v>
                </c:pt>
                <c:pt idx="17">
                  <c:v>Rajesh Sharma</c:v>
                </c:pt>
                <c:pt idx="18">
                  <c:v>Rajni Mehta</c:v>
                </c:pt>
                <c:pt idx="19">
                  <c:v>Ramesh Yadav</c:v>
                </c:pt>
                <c:pt idx="20">
                  <c:v>Rani Kapoor</c:v>
                </c:pt>
                <c:pt idx="21">
                  <c:v>Sneha Nair</c:v>
                </c:pt>
                <c:pt idx="22">
                  <c:v>Snehal Verma</c:v>
                </c:pt>
                <c:pt idx="23">
                  <c:v>Sonali Gupta</c:v>
                </c:pt>
                <c:pt idx="24">
                  <c:v>Suman Gupta</c:v>
                </c:pt>
                <c:pt idx="25">
                  <c:v>Sunil Chawla</c:v>
                </c:pt>
                <c:pt idx="26">
                  <c:v>Sunita Desai</c:v>
                </c:pt>
                <c:pt idx="27">
                  <c:v>Sushma Patel</c:v>
                </c:pt>
                <c:pt idx="28">
                  <c:v>Vijay Rao</c:v>
                </c:pt>
              </c:strCache>
            </c:strRef>
          </c:cat>
          <c:val>
            <c:numRef>
              <c:f>Attendance_summary!$B$4:$B$33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4976800"/>
        <c:axId val="-494975712"/>
      </c:barChart>
      <c:catAx>
        <c:axId val="-4949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4975712"/>
        <c:crosses val="autoZero"/>
        <c:auto val="1"/>
        <c:lblAlgn val="ctr"/>
        <c:lblOffset val="100"/>
        <c:noMultiLvlLbl val="0"/>
      </c:catAx>
      <c:valAx>
        <c:axId val="-4949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49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</xdr:rowOff>
    </xdr:from>
    <xdr:to>
      <xdr:col>24</xdr:col>
      <xdr:colOff>101231</xdr:colOff>
      <xdr:row>17</xdr:row>
      <xdr:rowOff>46016</xdr:rowOff>
    </xdr:to>
    <xdr:sp macro="" textlink="">
      <xdr:nvSpPr>
        <xdr:cNvPr id="2" name="TextBox 1"/>
        <xdr:cNvSpPr txBox="1"/>
      </xdr:nvSpPr>
      <xdr:spPr>
        <a:xfrm>
          <a:off x="10795000" y="358914"/>
          <a:ext cx="9377753" cy="2843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You are maintaining an employee attendance sheet for a month. The columns are Employee Name, Date, and Status (Present/Absent).</a:t>
          </a:r>
          <a:br>
            <a:rPr lang="en-US" sz="1200"/>
          </a:br>
          <a:r>
            <a:rPr lang="en-US" sz="1200"/>
            <a:t/>
          </a:r>
          <a:br>
            <a:rPr lang="en-US" sz="1200"/>
          </a:br>
          <a:r>
            <a:rPr lang="en-US" sz="1200"/>
            <a:t> Questions: </a:t>
          </a:r>
          <a:br>
            <a:rPr lang="en-US" sz="1200"/>
          </a:br>
          <a:r>
            <a:rPr lang="en-US" sz="1200"/>
            <a:t>1. Count Absent Days: o Use the COUNTIF function to    count how many days each employee was absent.</a:t>
          </a:r>
          <a:br>
            <a:rPr lang="en-US" sz="1200"/>
          </a:br>
          <a:r>
            <a:rPr lang="en-US" sz="1200"/>
            <a:t> </a:t>
          </a:r>
          <a:br>
            <a:rPr lang="en-US" sz="1200"/>
          </a:br>
          <a:r>
            <a:rPr lang="en-US" sz="1200"/>
            <a:t>2. Conditional Formatting: o Apply a rule to highlight the names of employees who were absent for more than 3 days in the month. </a:t>
          </a:r>
          <a:br>
            <a:rPr lang="en-US" sz="1200"/>
          </a:br>
          <a:r>
            <a:rPr lang="en-US" sz="1200"/>
            <a:t/>
          </a:r>
          <a:br>
            <a:rPr lang="en-US" sz="1200"/>
          </a:br>
          <a:r>
            <a:rPr lang="en-US" sz="1200"/>
            <a:t>3. Attendance Summary: o Create a Pivot Table to display the total number of days present for each employee.</a:t>
          </a:r>
          <a:br>
            <a:rPr lang="en-US" sz="1200"/>
          </a:br>
          <a:r>
            <a:rPr lang="en-US" sz="1200"/>
            <a:t/>
          </a:r>
          <a:br>
            <a:rPr lang="en-US" sz="1200"/>
          </a:br>
          <a:r>
            <a:rPr lang="en-US" sz="1200"/>
            <a:t> 4. Date Functions: o Use the NETWORKDAYS function to calculate the number of working days in the month (excluding weekends).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4</xdr:row>
      <xdr:rowOff>19050</xdr:rowOff>
    </xdr:from>
    <xdr:to>
      <xdr:col>11</xdr:col>
      <xdr:colOff>31750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30.038462500001" createdVersion="5" refreshedVersion="5" minRefreshableVersion="3" recordCount="29">
  <cacheSource type="worksheet">
    <worksheetSource ref="A1:H30" sheet="Sheet2"/>
  </cacheSource>
  <cacheFields count="8">
    <cacheField name="Employee Name" numFmtId="0">
      <sharedItems count="29">
        <s v="Rajesh Kumar"/>
        <s v="Neha Sharma"/>
        <s v="Arun Patel"/>
        <s v="Priya Verma"/>
        <s v="Anil Mehta"/>
        <s v="Aarti Desai"/>
        <s v="Rahul Reddy"/>
        <s v="Suman Gupta"/>
        <s v="Vijay Rao"/>
        <s v="Kiran Patel"/>
        <s v="Meera Shah"/>
        <s v="Sunil Chawla"/>
        <s v="Manoj Kumar"/>
        <s v="Sneha Nair"/>
        <s v="Ramesh Yadav"/>
        <s v="Sonali Gupta"/>
        <s v="Deepak Sharma"/>
        <s v="Sushma Patel"/>
        <s v="Rajni Mehta"/>
        <s v="Amit Rawat"/>
        <s v="Geeta Singh"/>
        <s v="Rajesh Sharma"/>
        <s v="Mohit Kumar"/>
        <s v="Neelam Gupta"/>
        <s v="Nisha Rao"/>
        <s v="Sunita Desai"/>
        <s v="Pankaj Yadav"/>
        <s v="Snehal Verma"/>
        <s v="Rani Kapoor"/>
      </sharedItems>
    </cacheField>
    <cacheField name="Date" numFmtId="14">
      <sharedItems containsSemiMixedTypes="0" containsNonDate="0" containsDate="1" containsString="0" minDate="2024-08-01T00:00:00" maxDate="2024-08-16T00:00:00"/>
    </cacheField>
    <cacheField name="Status" numFmtId="0">
      <sharedItems count="2">
        <s v="Present"/>
        <s v="Absent"/>
      </sharedItems>
    </cacheField>
    <cacheField name="Department" numFmtId="0">
      <sharedItems/>
    </cacheField>
    <cacheField name="Location" numFmtId="0">
      <sharedItems/>
    </cacheField>
    <cacheField name="Shift" numFmtId="0">
      <sharedItems/>
    </cacheField>
    <cacheField name="Manager" numFmtId="0">
      <sharedItems/>
    </cacheField>
    <cacheField name="Overtime Hours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d v="2024-08-01T00:00:00"/>
    <x v="0"/>
    <s v="Sales"/>
    <s v="Delhi"/>
    <s v="Morning"/>
    <s v="Amit"/>
    <n v="2"/>
  </r>
  <r>
    <x v="1"/>
    <d v="2024-08-01T00:00:00"/>
    <x v="1"/>
    <s v="HR"/>
    <s v="Mumbai"/>
    <s v="Evening"/>
    <s v="Priya"/>
    <n v="0"/>
  </r>
  <r>
    <x v="2"/>
    <d v="2024-08-02T00:00:00"/>
    <x v="0"/>
    <s v="Finance"/>
    <s v="Bangalore"/>
    <s v="Morning"/>
    <s v="Ravi"/>
    <n v="1"/>
  </r>
  <r>
    <x v="3"/>
    <d v="2024-08-02T00:00:00"/>
    <x v="0"/>
    <s v="IT"/>
    <s v="Chennai"/>
    <s v="Night"/>
    <s v="Mohit"/>
    <n v="0"/>
  </r>
  <r>
    <x v="4"/>
    <d v="2024-08-03T00:00:00"/>
    <x v="1"/>
    <s v="HR"/>
    <s v="Delhi"/>
    <s v="Morning"/>
    <s v="Neha"/>
    <n v="0"/>
  </r>
  <r>
    <x v="5"/>
    <d v="2024-08-03T00:00:00"/>
    <x v="0"/>
    <s v="Sales"/>
    <s v="Mumbai"/>
    <s v="Evening"/>
    <s v="Priya"/>
    <n v="3"/>
  </r>
  <r>
    <x v="6"/>
    <d v="2024-08-04T00:00:00"/>
    <x v="0"/>
    <s v="Finance"/>
    <s v="Bangalore"/>
    <s v="Morning"/>
    <s v="Ravi"/>
    <n v="1"/>
  </r>
  <r>
    <x v="7"/>
    <d v="2024-08-04T00:00:00"/>
    <x v="0"/>
    <s v="IT"/>
    <s v="Chennai"/>
    <s v="Night"/>
    <s v="Mohit"/>
    <n v="2"/>
  </r>
  <r>
    <x v="8"/>
    <d v="2024-08-05T00:00:00"/>
    <x v="1"/>
    <s v="Sales"/>
    <s v="Delhi"/>
    <s v="Morning"/>
    <s v="Amit"/>
    <n v="0"/>
  </r>
  <r>
    <x v="9"/>
    <d v="2024-08-05T00:00:00"/>
    <x v="0"/>
    <s v="HR"/>
    <s v="Mumbai"/>
    <s v="Evening"/>
    <s v="Priya"/>
    <n v="0"/>
  </r>
  <r>
    <x v="10"/>
    <d v="2024-08-06T00:00:00"/>
    <x v="0"/>
    <s v="Finance"/>
    <s v="Bangalore"/>
    <s v="Morning"/>
    <s v="Ravi"/>
    <n v="2"/>
  </r>
  <r>
    <x v="11"/>
    <d v="2024-08-06T00:00:00"/>
    <x v="1"/>
    <s v="IT"/>
    <s v="Chennai"/>
    <s v="Night"/>
    <s v="Mohit"/>
    <n v="0"/>
  </r>
  <r>
    <x v="12"/>
    <d v="2024-08-07T00:00:00"/>
    <x v="0"/>
    <s v="Sales"/>
    <s v="Delhi"/>
    <s v="Morning"/>
    <s v="Amit"/>
    <n v="1"/>
  </r>
  <r>
    <x v="13"/>
    <d v="2024-08-07T00:00:00"/>
    <x v="0"/>
    <s v="HR"/>
    <s v="Mumbai"/>
    <s v="Evening"/>
    <s v="Priya"/>
    <n v="2"/>
  </r>
  <r>
    <x v="14"/>
    <d v="2024-08-08T00:00:00"/>
    <x v="1"/>
    <s v="Finance"/>
    <s v="Bangalore"/>
    <s v="Morning"/>
    <s v="Ravi"/>
    <n v="0"/>
  </r>
  <r>
    <x v="15"/>
    <d v="2024-08-08T00:00:00"/>
    <x v="0"/>
    <s v="IT"/>
    <s v="Chennai"/>
    <s v="Night"/>
    <s v="Mohit"/>
    <n v="3"/>
  </r>
  <r>
    <x v="16"/>
    <d v="2024-08-09T00:00:00"/>
    <x v="0"/>
    <s v="Sales"/>
    <s v="Delhi"/>
    <s v="Morning"/>
    <s v="Amit"/>
    <n v="0"/>
  </r>
  <r>
    <x v="17"/>
    <d v="2024-08-09T00:00:00"/>
    <x v="1"/>
    <s v="HR"/>
    <s v="Mumbai"/>
    <s v="Evening"/>
    <s v="Priya"/>
    <n v="0"/>
  </r>
  <r>
    <x v="18"/>
    <d v="2024-08-10T00:00:00"/>
    <x v="0"/>
    <s v="Finance"/>
    <s v="Bangalore"/>
    <s v="Morning"/>
    <s v="Ravi"/>
    <n v="1"/>
  </r>
  <r>
    <x v="19"/>
    <d v="2024-08-10T00:00:00"/>
    <x v="0"/>
    <s v="IT"/>
    <s v="Chennai"/>
    <s v="Night"/>
    <s v="Mohit"/>
    <n v="2"/>
  </r>
  <r>
    <x v="20"/>
    <d v="2024-08-11T00:00:00"/>
    <x v="1"/>
    <s v="Sales"/>
    <s v="Delhi"/>
    <s v="Morning"/>
    <s v="Amit"/>
    <n v="0"/>
  </r>
  <r>
    <x v="21"/>
    <d v="2024-08-11T00:00:00"/>
    <x v="0"/>
    <s v="HR"/>
    <s v="Mumbai"/>
    <s v="Evening"/>
    <s v="Priya"/>
    <n v="1"/>
  </r>
  <r>
    <x v="22"/>
    <d v="2024-08-12T00:00:00"/>
    <x v="0"/>
    <s v="Finance"/>
    <s v="Bangalore"/>
    <s v="Morning"/>
    <s v="Ravi"/>
    <n v="3"/>
  </r>
  <r>
    <x v="23"/>
    <d v="2024-08-12T00:00:00"/>
    <x v="1"/>
    <s v="IT"/>
    <s v="Chennai"/>
    <s v="Night"/>
    <s v="Mohit"/>
    <n v="0"/>
  </r>
  <r>
    <x v="24"/>
    <d v="2024-08-13T00:00:00"/>
    <x v="0"/>
    <s v="Sales"/>
    <s v="Delhi"/>
    <s v="Morning"/>
    <s v="Amit"/>
    <n v="2"/>
  </r>
  <r>
    <x v="25"/>
    <d v="2024-08-13T00:00:00"/>
    <x v="0"/>
    <s v="HR"/>
    <s v="Mumbai"/>
    <s v="Evening"/>
    <s v="Priya"/>
    <n v="1"/>
  </r>
  <r>
    <x v="26"/>
    <d v="2024-08-14T00:00:00"/>
    <x v="1"/>
    <s v="Finance"/>
    <s v="Bangalore"/>
    <s v="Morning"/>
    <s v="Ravi"/>
    <n v="0"/>
  </r>
  <r>
    <x v="27"/>
    <d v="2024-08-14T00:00:00"/>
    <x v="0"/>
    <s v="IT"/>
    <s v="Chennai"/>
    <s v="Night"/>
    <s v="Mohit"/>
    <n v="2"/>
  </r>
  <r>
    <x v="28"/>
    <d v="2024-08-15T00:00:00"/>
    <x v="0"/>
    <s v="Sales"/>
    <s v="Delhi"/>
    <s v="Morning"/>
    <s v="Amit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33" firstHeaderRow="1" firstDataRow="1" firstDataCol="1"/>
  <pivotFields count="8">
    <pivotField axis="axisRow" showAll="0">
      <items count="30">
        <item x="5"/>
        <item x="19"/>
        <item x="4"/>
        <item x="2"/>
        <item x="16"/>
        <item x="20"/>
        <item x="9"/>
        <item x="12"/>
        <item x="10"/>
        <item x="22"/>
        <item x="23"/>
        <item x="1"/>
        <item x="24"/>
        <item x="26"/>
        <item x="3"/>
        <item x="6"/>
        <item x="0"/>
        <item x="21"/>
        <item x="18"/>
        <item x="14"/>
        <item x="28"/>
        <item x="13"/>
        <item x="27"/>
        <item x="15"/>
        <item x="7"/>
        <item x="11"/>
        <item x="25"/>
        <item x="17"/>
        <item x="8"/>
        <item t="default"/>
      </items>
    </pivotField>
    <pivotField numFmtId="14" showAll="0"/>
    <pivotField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Status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90" zoomScaleNormal="90" workbookViewId="0">
      <selection activeCell="J23" sqref="J23"/>
    </sheetView>
  </sheetViews>
  <sheetFormatPr defaultRowHeight="14"/>
  <cols>
    <col min="1" max="1" width="17.08203125" customWidth="1"/>
    <col min="2" max="2" width="12.25" customWidth="1"/>
    <col min="3" max="3" width="18" customWidth="1"/>
    <col min="4" max="4" width="22.83203125" customWidth="1"/>
    <col min="5" max="5" width="16" customWidth="1"/>
    <col min="6" max="6" width="16.9140625" customWidth="1"/>
    <col min="7" max="7" width="9.1640625" customWidth="1"/>
    <col min="8" max="8" width="14.58203125" customWidth="1"/>
  </cols>
  <sheetData>
    <row r="1" spans="1:8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2">
        <v>45505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</v>
      </c>
    </row>
    <row r="3" spans="1:8">
      <c r="A3" s="1" t="s">
        <v>14</v>
      </c>
      <c r="B3" s="2">
        <v>45505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</v>
      </c>
    </row>
    <row r="4" spans="1:8">
      <c r="A4" s="1" t="s">
        <v>20</v>
      </c>
      <c r="B4" s="2">
        <v>45506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  <c r="H4" s="1">
        <v>1</v>
      </c>
    </row>
    <row r="5" spans="1:8">
      <c r="A5" s="1" t="s">
        <v>24</v>
      </c>
      <c r="B5" s="2">
        <v>45506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</row>
    <row r="6" spans="1:8">
      <c r="A6" s="1" t="s">
        <v>29</v>
      </c>
      <c r="B6" s="2">
        <v>45507</v>
      </c>
      <c r="C6" s="1" t="s">
        <v>15</v>
      </c>
      <c r="D6" s="1" t="s">
        <v>16</v>
      </c>
      <c r="E6" s="1" t="s">
        <v>11</v>
      </c>
      <c r="F6" s="1" t="s">
        <v>12</v>
      </c>
      <c r="G6" s="1" t="s">
        <v>30</v>
      </c>
      <c r="H6" s="1">
        <v>0</v>
      </c>
    </row>
    <row r="7" spans="1:8">
      <c r="A7" s="1" t="s">
        <v>31</v>
      </c>
      <c r="B7" s="2">
        <v>45507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19</v>
      </c>
      <c r="H7" s="1">
        <v>3</v>
      </c>
    </row>
    <row r="8" spans="1:8">
      <c r="A8" s="1" t="s">
        <v>32</v>
      </c>
      <c r="B8" s="2">
        <v>45508</v>
      </c>
      <c r="C8" s="1" t="s">
        <v>9</v>
      </c>
      <c r="D8" s="1" t="s">
        <v>21</v>
      </c>
      <c r="E8" s="1" t="s">
        <v>22</v>
      </c>
      <c r="F8" s="1" t="s">
        <v>12</v>
      </c>
      <c r="G8" s="1" t="s">
        <v>23</v>
      </c>
      <c r="H8" s="1">
        <v>1</v>
      </c>
    </row>
    <row r="9" spans="1:8">
      <c r="A9" s="1" t="s">
        <v>33</v>
      </c>
      <c r="B9" s="2">
        <v>45508</v>
      </c>
      <c r="C9" s="1" t="s">
        <v>9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2</v>
      </c>
    </row>
    <row r="10" spans="1:8">
      <c r="A10" s="1" t="s">
        <v>34</v>
      </c>
      <c r="B10" s="2">
        <v>45509</v>
      </c>
      <c r="C10" s="1" t="s">
        <v>15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0</v>
      </c>
    </row>
    <row r="11" spans="1:8">
      <c r="A11" s="1" t="s">
        <v>35</v>
      </c>
      <c r="B11" s="2">
        <v>45509</v>
      </c>
      <c r="C11" s="1" t="s">
        <v>9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0</v>
      </c>
    </row>
    <row r="12" spans="1:8">
      <c r="A12" s="1" t="s">
        <v>36</v>
      </c>
      <c r="B12" s="2">
        <v>45510</v>
      </c>
      <c r="C12" s="1" t="s">
        <v>9</v>
      </c>
      <c r="D12" s="1" t="s">
        <v>21</v>
      </c>
      <c r="E12" s="1" t="s">
        <v>22</v>
      </c>
      <c r="F12" s="1" t="s">
        <v>12</v>
      </c>
      <c r="G12" s="1" t="s">
        <v>23</v>
      </c>
      <c r="H12" s="1">
        <v>2</v>
      </c>
    </row>
    <row r="13" spans="1:8">
      <c r="A13" s="1" t="s">
        <v>37</v>
      </c>
      <c r="B13" s="2">
        <v>45510</v>
      </c>
      <c r="C13" s="1" t="s">
        <v>15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0</v>
      </c>
    </row>
    <row r="14" spans="1:8">
      <c r="A14" s="1" t="s">
        <v>38</v>
      </c>
      <c r="B14" s="2">
        <v>45511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1</v>
      </c>
    </row>
    <row r="15" spans="1:8">
      <c r="A15" s="1" t="s">
        <v>39</v>
      </c>
      <c r="B15" s="2">
        <v>45511</v>
      </c>
      <c r="C15" s="1" t="s">
        <v>9</v>
      </c>
      <c r="D15" s="1" t="s">
        <v>16</v>
      </c>
      <c r="E15" s="1" t="s">
        <v>17</v>
      </c>
      <c r="F15" s="1" t="s">
        <v>18</v>
      </c>
      <c r="G15" s="1" t="s">
        <v>19</v>
      </c>
      <c r="H15" s="1">
        <v>2</v>
      </c>
    </row>
    <row r="16" spans="1:8">
      <c r="A16" s="1" t="s">
        <v>40</v>
      </c>
      <c r="B16" s="2">
        <v>45512</v>
      </c>
      <c r="C16" s="1" t="s">
        <v>15</v>
      </c>
      <c r="D16" s="1" t="s">
        <v>21</v>
      </c>
      <c r="E16" s="1" t="s">
        <v>22</v>
      </c>
      <c r="F16" s="1" t="s">
        <v>12</v>
      </c>
      <c r="G16" s="1" t="s">
        <v>23</v>
      </c>
      <c r="H16" s="1">
        <v>0</v>
      </c>
    </row>
    <row r="17" spans="1:8">
      <c r="A17" s="1" t="s">
        <v>41</v>
      </c>
      <c r="B17" s="2">
        <v>45512</v>
      </c>
      <c r="C17" s="1" t="s">
        <v>9</v>
      </c>
      <c r="D17" s="1" t="s">
        <v>25</v>
      </c>
      <c r="E17" s="1" t="s">
        <v>26</v>
      </c>
      <c r="F17" s="1" t="s">
        <v>27</v>
      </c>
      <c r="G17" s="1" t="s">
        <v>28</v>
      </c>
      <c r="H17" s="1">
        <v>3</v>
      </c>
    </row>
    <row r="18" spans="1:8">
      <c r="A18" s="1" t="s">
        <v>42</v>
      </c>
      <c r="B18" s="2">
        <v>45513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</row>
    <row r="19" spans="1:8">
      <c r="A19" s="1" t="s">
        <v>43</v>
      </c>
      <c r="B19" s="2">
        <v>45513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>
        <v>0</v>
      </c>
    </row>
    <row r="20" spans="1:8">
      <c r="A20" s="1" t="s">
        <v>44</v>
      </c>
      <c r="B20" s="2">
        <v>45514</v>
      </c>
      <c r="C20" s="1" t="s">
        <v>9</v>
      </c>
      <c r="D20" s="1" t="s">
        <v>21</v>
      </c>
      <c r="E20" s="1" t="s">
        <v>22</v>
      </c>
      <c r="F20" s="1" t="s">
        <v>12</v>
      </c>
      <c r="G20" s="1" t="s">
        <v>23</v>
      </c>
      <c r="H20" s="1">
        <v>1</v>
      </c>
    </row>
    <row r="21" spans="1:8">
      <c r="A21" s="1" t="s">
        <v>45</v>
      </c>
      <c r="B21" s="2">
        <v>45514</v>
      </c>
      <c r="C21" s="1" t="s">
        <v>9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2</v>
      </c>
    </row>
    <row r="22" spans="1:8">
      <c r="A22" s="1" t="s">
        <v>46</v>
      </c>
      <c r="B22" s="2">
        <v>45515</v>
      </c>
      <c r="C22" s="1" t="s">
        <v>15</v>
      </c>
      <c r="D22" s="1" t="s">
        <v>10</v>
      </c>
      <c r="E22" s="1" t="s">
        <v>11</v>
      </c>
      <c r="F22" s="1" t="s">
        <v>12</v>
      </c>
      <c r="G22" s="1" t="s">
        <v>13</v>
      </c>
      <c r="H22" s="1">
        <v>0</v>
      </c>
    </row>
    <row r="23" spans="1:8">
      <c r="A23" s="1" t="s">
        <v>47</v>
      </c>
      <c r="B23" s="2">
        <v>45515</v>
      </c>
      <c r="C23" s="1" t="s">
        <v>9</v>
      </c>
      <c r="D23" s="1" t="s">
        <v>16</v>
      </c>
      <c r="E23" s="1" t="s">
        <v>17</v>
      </c>
      <c r="F23" s="1" t="s">
        <v>18</v>
      </c>
      <c r="G23" s="1" t="s">
        <v>19</v>
      </c>
      <c r="H23" s="1">
        <v>1</v>
      </c>
    </row>
    <row r="24" spans="1:8">
      <c r="A24" s="1" t="s">
        <v>48</v>
      </c>
      <c r="B24" s="2">
        <v>45516</v>
      </c>
      <c r="C24" s="1" t="s">
        <v>9</v>
      </c>
      <c r="D24" s="1" t="s">
        <v>21</v>
      </c>
      <c r="E24" s="1" t="s">
        <v>22</v>
      </c>
      <c r="F24" s="1" t="s">
        <v>12</v>
      </c>
      <c r="G24" s="1" t="s">
        <v>23</v>
      </c>
      <c r="H24" s="1">
        <v>3</v>
      </c>
    </row>
    <row r="25" spans="1:8">
      <c r="A25" s="1" t="s">
        <v>49</v>
      </c>
      <c r="B25" s="2">
        <v>45516</v>
      </c>
      <c r="C25" s="1" t="s">
        <v>15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0</v>
      </c>
    </row>
    <row r="26" spans="1:8">
      <c r="A26" s="1" t="s">
        <v>50</v>
      </c>
      <c r="B26" s="2">
        <v>45517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</v>
      </c>
    </row>
    <row r="27" spans="1:8">
      <c r="A27" s="1" t="s">
        <v>51</v>
      </c>
      <c r="B27" s="2">
        <v>45517</v>
      </c>
      <c r="C27" s="1" t="s">
        <v>9</v>
      </c>
      <c r="D27" s="1" t="s">
        <v>16</v>
      </c>
      <c r="E27" s="1" t="s">
        <v>17</v>
      </c>
      <c r="F27" s="1" t="s">
        <v>18</v>
      </c>
      <c r="G27" s="1" t="s">
        <v>19</v>
      </c>
      <c r="H27" s="1">
        <v>1</v>
      </c>
    </row>
    <row r="28" spans="1:8">
      <c r="A28" s="1" t="s">
        <v>52</v>
      </c>
      <c r="B28" s="2">
        <v>45518</v>
      </c>
      <c r="C28" s="1" t="s">
        <v>15</v>
      </c>
      <c r="D28" s="1" t="s">
        <v>21</v>
      </c>
      <c r="E28" s="1" t="s">
        <v>22</v>
      </c>
      <c r="F28" s="1" t="s">
        <v>12</v>
      </c>
      <c r="G28" s="1" t="s">
        <v>23</v>
      </c>
      <c r="H28" s="1">
        <v>0</v>
      </c>
    </row>
    <row r="29" spans="1:8">
      <c r="A29" s="1" t="s">
        <v>53</v>
      </c>
      <c r="B29" s="2">
        <v>45518</v>
      </c>
      <c r="C29" s="1" t="s">
        <v>9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2</v>
      </c>
    </row>
    <row r="30" spans="1:8">
      <c r="A30" s="1" t="s">
        <v>54</v>
      </c>
      <c r="B30" s="2">
        <v>45519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84" zoomScaleNormal="84" workbookViewId="0">
      <selection activeCell="O6" sqref="O6"/>
    </sheetView>
  </sheetViews>
  <sheetFormatPr defaultRowHeight="14"/>
  <cols>
    <col min="1" max="1" width="15.75" bestFit="1" customWidth="1"/>
    <col min="2" max="2" width="9.5" bestFit="1" customWidth="1"/>
    <col min="3" max="3" width="7.4140625" bestFit="1" customWidth="1"/>
    <col min="4" max="4" width="11.58203125" bestFit="1" customWidth="1"/>
    <col min="5" max="5" width="9.4140625" bestFit="1" customWidth="1"/>
    <col min="6" max="6" width="7.58203125" bestFit="1" customWidth="1"/>
    <col min="7" max="7" width="9" bestFit="1" customWidth="1"/>
    <col min="8" max="8" width="15.33203125" bestFit="1" customWidth="1"/>
    <col min="12" max="12" width="15.75" bestFit="1" customWidth="1"/>
    <col min="13" max="13" width="12.5" bestFit="1" customWidth="1"/>
  </cols>
  <sheetData>
    <row r="1" spans="1:13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L1" s="3" t="s">
        <v>0</v>
      </c>
      <c r="M1" s="3" t="s">
        <v>55</v>
      </c>
    </row>
    <row r="2" spans="1:13">
      <c r="A2" s="1" t="s">
        <v>8</v>
      </c>
      <c r="B2" s="2">
        <v>45505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</v>
      </c>
      <c r="L2" s="4" t="str">
        <f>A2</f>
        <v>Rajesh Kumar</v>
      </c>
      <c r="M2" s="4">
        <f>COUNTIFS(A:A, L2,C:C, "Absent")</f>
        <v>0</v>
      </c>
    </row>
    <row r="3" spans="1:13">
      <c r="A3" s="1" t="s">
        <v>14</v>
      </c>
      <c r="B3" s="2">
        <v>45505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</v>
      </c>
      <c r="L3" s="4" t="str">
        <f t="shared" ref="L3:L30" si="0">A3</f>
        <v>Neha Sharma</v>
      </c>
      <c r="M3" s="4">
        <f t="shared" ref="M3:M30" si="1">COUNTIFS(A:A, L3,C:C, "Absent")</f>
        <v>1</v>
      </c>
    </row>
    <row r="4" spans="1:13">
      <c r="A4" s="1" t="s">
        <v>20</v>
      </c>
      <c r="B4" s="2">
        <v>45506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  <c r="H4" s="1">
        <v>1</v>
      </c>
      <c r="L4" s="4" t="str">
        <f t="shared" si="0"/>
        <v>Arun Patel</v>
      </c>
      <c r="M4" s="4">
        <f t="shared" si="1"/>
        <v>0</v>
      </c>
    </row>
    <row r="5" spans="1:13">
      <c r="A5" s="1" t="s">
        <v>24</v>
      </c>
      <c r="B5" s="2">
        <v>45506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  <c r="L5" s="4" t="str">
        <f t="shared" si="0"/>
        <v>Priya Verma</v>
      </c>
      <c r="M5" s="4">
        <f t="shared" si="1"/>
        <v>0</v>
      </c>
    </row>
    <row r="6" spans="1:13">
      <c r="A6" s="1" t="s">
        <v>29</v>
      </c>
      <c r="B6" s="2">
        <v>45507</v>
      </c>
      <c r="C6" s="1" t="s">
        <v>15</v>
      </c>
      <c r="D6" s="1" t="s">
        <v>16</v>
      </c>
      <c r="E6" s="1" t="s">
        <v>11</v>
      </c>
      <c r="F6" s="1" t="s">
        <v>12</v>
      </c>
      <c r="G6" s="1" t="s">
        <v>30</v>
      </c>
      <c r="H6" s="1">
        <v>0</v>
      </c>
      <c r="L6" s="4" t="str">
        <f t="shared" si="0"/>
        <v>Anil Mehta</v>
      </c>
      <c r="M6" s="4">
        <f t="shared" si="1"/>
        <v>1</v>
      </c>
    </row>
    <row r="7" spans="1:13">
      <c r="A7" s="1" t="s">
        <v>31</v>
      </c>
      <c r="B7" s="2">
        <v>45507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19</v>
      </c>
      <c r="H7" s="1">
        <v>3</v>
      </c>
      <c r="L7" s="4" t="str">
        <f t="shared" si="0"/>
        <v>Aarti Desai</v>
      </c>
      <c r="M7" s="4">
        <f t="shared" si="1"/>
        <v>0</v>
      </c>
    </row>
    <row r="8" spans="1:13">
      <c r="A8" s="1" t="s">
        <v>32</v>
      </c>
      <c r="B8" s="2">
        <v>45508</v>
      </c>
      <c r="C8" s="1" t="s">
        <v>9</v>
      </c>
      <c r="D8" s="1" t="s">
        <v>21</v>
      </c>
      <c r="E8" s="1" t="s">
        <v>22</v>
      </c>
      <c r="F8" s="1" t="s">
        <v>12</v>
      </c>
      <c r="G8" s="1" t="s">
        <v>23</v>
      </c>
      <c r="H8" s="1">
        <v>1</v>
      </c>
      <c r="L8" s="4" t="str">
        <f t="shared" si="0"/>
        <v>Rahul Reddy</v>
      </c>
      <c r="M8" s="4">
        <f t="shared" si="1"/>
        <v>0</v>
      </c>
    </row>
    <row r="9" spans="1:13">
      <c r="A9" s="1" t="s">
        <v>33</v>
      </c>
      <c r="B9" s="2">
        <v>45508</v>
      </c>
      <c r="C9" s="1" t="s">
        <v>9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2</v>
      </c>
      <c r="L9" s="4" t="str">
        <f t="shared" si="0"/>
        <v>Suman Gupta</v>
      </c>
      <c r="M9" s="4">
        <f t="shared" si="1"/>
        <v>0</v>
      </c>
    </row>
    <row r="10" spans="1:13">
      <c r="A10" s="1" t="s">
        <v>34</v>
      </c>
      <c r="B10" s="2">
        <v>45509</v>
      </c>
      <c r="C10" s="1" t="s">
        <v>15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0</v>
      </c>
      <c r="L10" s="4" t="str">
        <f t="shared" si="0"/>
        <v>Vijay Rao</v>
      </c>
      <c r="M10" s="4">
        <f t="shared" si="1"/>
        <v>1</v>
      </c>
    </row>
    <row r="11" spans="1:13">
      <c r="A11" s="1" t="s">
        <v>35</v>
      </c>
      <c r="B11" s="2">
        <v>45509</v>
      </c>
      <c r="C11" s="1" t="s">
        <v>9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0</v>
      </c>
      <c r="L11" s="4" t="str">
        <f t="shared" si="0"/>
        <v>Kiran Patel</v>
      </c>
      <c r="M11" s="4">
        <f t="shared" si="1"/>
        <v>0</v>
      </c>
    </row>
    <row r="12" spans="1:13">
      <c r="A12" s="1" t="s">
        <v>36</v>
      </c>
      <c r="B12" s="2">
        <v>45510</v>
      </c>
      <c r="C12" s="1" t="s">
        <v>9</v>
      </c>
      <c r="D12" s="1" t="s">
        <v>21</v>
      </c>
      <c r="E12" s="1" t="s">
        <v>22</v>
      </c>
      <c r="F12" s="1" t="s">
        <v>12</v>
      </c>
      <c r="G12" s="1" t="s">
        <v>23</v>
      </c>
      <c r="H12" s="1">
        <v>2</v>
      </c>
      <c r="L12" s="4" t="str">
        <f t="shared" si="0"/>
        <v>Meera Shah</v>
      </c>
      <c r="M12" s="4">
        <f t="shared" si="1"/>
        <v>0</v>
      </c>
    </row>
    <row r="13" spans="1:13">
      <c r="A13" s="1" t="s">
        <v>37</v>
      </c>
      <c r="B13" s="2">
        <v>45510</v>
      </c>
      <c r="C13" s="1" t="s">
        <v>15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0</v>
      </c>
      <c r="L13" s="4" t="str">
        <f t="shared" si="0"/>
        <v>Sunil Chawla</v>
      </c>
      <c r="M13" s="4">
        <f t="shared" si="1"/>
        <v>1</v>
      </c>
    </row>
    <row r="14" spans="1:13">
      <c r="A14" s="1" t="s">
        <v>38</v>
      </c>
      <c r="B14" s="2">
        <v>45511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1</v>
      </c>
      <c r="L14" s="4" t="str">
        <f t="shared" si="0"/>
        <v>Manoj Kumar</v>
      </c>
      <c r="M14" s="4">
        <f t="shared" si="1"/>
        <v>0</v>
      </c>
    </row>
    <row r="15" spans="1:13">
      <c r="A15" s="1" t="s">
        <v>39</v>
      </c>
      <c r="B15" s="2">
        <v>45511</v>
      </c>
      <c r="C15" s="1" t="s">
        <v>9</v>
      </c>
      <c r="D15" s="1" t="s">
        <v>16</v>
      </c>
      <c r="E15" s="1" t="s">
        <v>17</v>
      </c>
      <c r="F15" s="1" t="s">
        <v>18</v>
      </c>
      <c r="G15" s="1" t="s">
        <v>19</v>
      </c>
      <c r="H15" s="1">
        <v>2</v>
      </c>
      <c r="L15" s="4" t="str">
        <f t="shared" si="0"/>
        <v>Sneha Nair</v>
      </c>
      <c r="M15" s="4">
        <f t="shared" si="1"/>
        <v>0</v>
      </c>
    </row>
    <row r="16" spans="1:13">
      <c r="A16" s="1" t="s">
        <v>40</v>
      </c>
      <c r="B16" s="2">
        <v>45512</v>
      </c>
      <c r="C16" s="1" t="s">
        <v>15</v>
      </c>
      <c r="D16" s="1" t="s">
        <v>21</v>
      </c>
      <c r="E16" s="1" t="s">
        <v>22</v>
      </c>
      <c r="F16" s="1" t="s">
        <v>12</v>
      </c>
      <c r="G16" s="1" t="s">
        <v>23</v>
      </c>
      <c r="H16" s="1">
        <v>0</v>
      </c>
      <c r="L16" s="4" t="str">
        <f t="shared" si="0"/>
        <v>Ramesh Yadav</v>
      </c>
      <c r="M16" s="4">
        <f t="shared" si="1"/>
        <v>1</v>
      </c>
    </row>
    <row r="17" spans="1:13">
      <c r="A17" s="1" t="s">
        <v>41</v>
      </c>
      <c r="B17" s="2">
        <v>45512</v>
      </c>
      <c r="C17" s="1" t="s">
        <v>9</v>
      </c>
      <c r="D17" s="1" t="s">
        <v>25</v>
      </c>
      <c r="E17" s="1" t="s">
        <v>26</v>
      </c>
      <c r="F17" s="1" t="s">
        <v>27</v>
      </c>
      <c r="G17" s="1" t="s">
        <v>28</v>
      </c>
      <c r="H17" s="1">
        <v>3</v>
      </c>
      <c r="L17" s="4" t="str">
        <f t="shared" si="0"/>
        <v>Sonali Gupta</v>
      </c>
      <c r="M17" s="4">
        <f t="shared" si="1"/>
        <v>0</v>
      </c>
    </row>
    <row r="18" spans="1:13">
      <c r="A18" s="1" t="s">
        <v>42</v>
      </c>
      <c r="B18" s="2">
        <v>45513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  <c r="L18" s="4" t="str">
        <f t="shared" si="0"/>
        <v>Deepak Sharma</v>
      </c>
      <c r="M18" s="4">
        <f t="shared" si="1"/>
        <v>0</v>
      </c>
    </row>
    <row r="19" spans="1:13">
      <c r="A19" s="1" t="s">
        <v>43</v>
      </c>
      <c r="B19" s="2">
        <v>45513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>
        <v>0</v>
      </c>
      <c r="L19" s="4" t="str">
        <f t="shared" si="0"/>
        <v>Sushma Patel</v>
      </c>
      <c r="M19" s="4">
        <f t="shared" si="1"/>
        <v>1</v>
      </c>
    </row>
    <row r="20" spans="1:13">
      <c r="A20" s="1" t="s">
        <v>44</v>
      </c>
      <c r="B20" s="2">
        <v>45514</v>
      </c>
      <c r="C20" s="1" t="s">
        <v>9</v>
      </c>
      <c r="D20" s="1" t="s">
        <v>21</v>
      </c>
      <c r="E20" s="1" t="s">
        <v>22</v>
      </c>
      <c r="F20" s="1" t="s">
        <v>12</v>
      </c>
      <c r="G20" s="1" t="s">
        <v>23</v>
      </c>
      <c r="H20" s="1">
        <v>1</v>
      </c>
      <c r="L20" s="4" t="str">
        <f t="shared" si="0"/>
        <v>Rajni Mehta</v>
      </c>
      <c r="M20" s="4">
        <f t="shared" si="1"/>
        <v>0</v>
      </c>
    </row>
    <row r="21" spans="1:13">
      <c r="A21" s="1" t="s">
        <v>45</v>
      </c>
      <c r="B21" s="2">
        <v>45514</v>
      </c>
      <c r="C21" s="1" t="s">
        <v>9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2</v>
      </c>
      <c r="L21" s="4" t="str">
        <f t="shared" si="0"/>
        <v>Amit Rawat</v>
      </c>
      <c r="M21" s="4">
        <f t="shared" si="1"/>
        <v>0</v>
      </c>
    </row>
    <row r="22" spans="1:13">
      <c r="A22" s="1" t="s">
        <v>46</v>
      </c>
      <c r="B22" s="2">
        <v>45515</v>
      </c>
      <c r="C22" s="1" t="s">
        <v>15</v>
      </c>
      <c r="D22" s="1" t="s">
        <v>10</v>
      </c>
      <c r="E22" s="1" t="s">
        <v>11</v>
      </c>
      <c r="F22" s="1" t="s">
        <v>12</v>
      </c>
      <c r="G22" s="1" t="s">
        <v>13</v>
      </c>
      <c r="H22" s="1">
        <v>0</v>
      </c>
      <c r="L22" s="4" t="str">
        <f t="shared" si="0"/>
        <v>Geeta Singh</v>
      </c>
      <c r="M22" s="4">
        <f t="shared" si="1"/>
        <v>1</v>
      </c>
    </row>
    <row r="23" spans="1:13">
      <c r="A23" s="1" t="s">
        <v>47</v>
      </c>
      <c r="B23" s="2">
        <v>45515</v>
      </c>
      <c r="C23" s="1" t="s">
        <v>9</v>
      </c>
      <c r="D23" s="1" t="s">
        <v>16</v>
      </c>
      <c r="E23" s="1" t="s">
        <v>17</v>
      </c>
      <c r="F23" s="1" t="s">
        <v>18</v>
      </c>
      <c r="G23" s="1" t="s">
        <v>19</v>
      </c>
      <c r="H23" s="1">
        <v>1</v>
      </c>
      <c r="L23" s="4" t="str">
        <f t="shared" si="0"/>
        <v>Rajesh Sharma</v>
      </c>
      <c r="M23" s="4">
        <f t="shared" si="1"/>
        <v>0</v>
      </c>
    </row>
    <row r="24" spans="1:13">
      <c r="A24" s="1" t="s">
        <v>48</v>
      </c>
      <c r="B24" s="2">
        <v>45516</v>
      </c>
      <c r="C24" s="1" t="s">
        <v>9</v>
      </c>
      <c r="D24" s="1" t="s">
        <v>21</v>
      </c>
      <c r="E24" s="1" t="s">
        <v>22</v>
      </c>
      <c r="F24" s="1" t="s">
        <v>12</v>
      </c>
      <c r="G24" s="1" t="s">
        <v>23</v>
      </c>
      <c r="H24" s="1">
        <v>3</v>
      </c>
      <c r="L24" s="4" t="str">
        <f t="shared" si="0"/>
        <v>Mohit Kumar</v>
      </c>
      <c r="M24" s="4">
        <f t="shared" si="1"/>
        <v>0</v>
      </c>
    </row>
    <row r="25" spans="1:13">
      <c r="A25" s="1" t="s">
        <v>49</v>
      </c>
      <c r="B25" s="2">
        <v>45516</v>
      </c>
      <c r="C25" s="1" t="s">
        <v>15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0</v>
      </c>
      <c r="L25" s="4" t="str">
        <f t="shared" si="0"/>
        <v>Neelam Gupta</v>
      </c>
      <c r="M25" s="4">
        <f t="shared" si="1"/>
        <v>1</v>
      </c>
    </row>
    <row r="26" spans="1:13">
      <c r="A26" s="1" t="s">
        <v>50</v>
      </c>
      <c r="B26" s="2">
        <v>45517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</v>
      </c>
      <c r="L26" s="4" t="str">
        <f t="shared" si="0"/>
        <v>Nisha Rao</v>
      </c>
      <c r="M26" s="4">
        <f t="shared" si="1"/>
        <v>0</v>
      </c>
    </row>
    <row r="27" spans="1:13">
      <c r="A27" s="1" t="s">
        <v>51</v>
      </c>
      <c r="B27" s="2">
        <v>45517</v>
      </c>
      <c r="C27" s="1" t="s">
        <v>9</v>
      </c>
      <c r="D27" s="1" t="s">
        <v>16</v>
      </c>
      <c r="E27" s="1" t="s">
        <v>17</v>
      </c>
      <c r="F27" s="1" t="s">
        <v>18</v>
      </c>
      <c r="G27" s="1" t="s">
        <v>19</v>
      </c>
      <c r="H27" s="1">
        <v>1</v>
      </c>
      <c r="L27" s="4" t="str">
        <f t="shared" si="0"/>
        <v>Sunita Desai</v>
      </c>
      <c r="M27" s="4">
        <f t="shared" si="1"/>
        <v>0</v>
      </c>
    </row>
    <row r="28" spans="1:13">
      <c r="A28" s="1" t="s">
        <v>52</v>
      </c>
      <c r="B28" s="2">
        <v>45518</v>
      </c>
      <c r="C28" s="1" t="s">
        <v>15</v>
      </c>
      <c r="D28" s="1" t="s">
        <v>21</v>
      </c>
      <c r="E28" s="1" t="s">
        <v>22</v>
      </c>
      <c r="F28" s="1" t="s">
        <v>12</v>
      </c>
      <c r="G28" s="1" t="s">
        <v>23</v>
      </c>
      <c r="H28" s="1">
        <v>0</v>
      </c>
      <c r="L28" s="4" t="str">
        <f t="shared" si="0"/>
        <v>Pankaj Yadav</v>
      </c>
      <c r="M28" s="4">
        <f t="shared" si="1"/>
        <v>1</v>
      </c>
    </row>
    <row r="29" spans="1:13">
      <c r="A29" s="1" t="s">
        <v>53</v>
      </c>
      <c r="B29" s="2">
        <v>45518</v>
      </c>
      <c r="C29" s="1" t="s">
        <v>9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2</v>
      </c>
      <c r="L29" s="4" t="str">
        <f t="shared" si="0"/>
        <v>Snehal Verma</v>
      </c>
      <c r="M29" s="4">
        <f t="shared" si="1"/>
        <v>0</v>
      </c>
    </row>
    <row r="30" spans="1:13">
      <c r="A30" s="1" t="s">
        <v>54</v>
      </c>
      <c r="B30" s="2">
        <v>45519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1</v>
      </c>
      <c r="L30" s="4" t="str">
        <f t="shared" si="0"/>
        <v>Rani Kapoor</v>
      </c>
      <c r="M30" s="4">
        <f t="shared" si="1"/>
        <v>0</v>
      </c>
    </row>
  </sheetData>
  <conditionalFormatting sqref="M2:M30">
    <cfRule type="cellIs" dxfId="1" priority="2" operator="greaterThan">
      <formula>3</formula>
    </cfRule>
    <cfRule type="cellIs" dxfId="0" priority="1" operator="greaterThan">
      <formula>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zoomScale="84" zoomScaleNormal="84" workbookViewId="0">
      <selection activeCell="L8" sqref="L8"/>
    </sheetView>
  </sheetViews>
  <sheetFormatPr defaultRowHeight="14"/>
  <cols>
    <col min="1" max="8" width="15.25" customWidth="1"/>
    <col min="11" max="11" width="21.582031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>
      <c r="A2" s="1" t="s">
        <v>8</v>
      </c>
      <c r="B2" s="2">
        <v>45505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</v>
      </c>
    </row>
    <row r="3" spans="1:12">
      <c r="A3" s="1" t="s">
        <v>14</v>
      </c>
      <c r="B3" s="2">
        <v>45505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</v>
      </c>
      <c r="J3" s="8" t="s">
        <v>60</v>
      </c>
      <c r="K3" s="9" t="s">
        <v>59</v>
      </c>
      <c r="L3" s="10">
        <f>NETWORKDAYS("8/1/2024","8/31/2024")</f>
        <v>22</v>
      </c>
    </row>
    <row r="4" spans="1:12">
      <c r="A4" s="1" t="s">
        <v>20</v>
      </c>
      <c r="B4" s="2">
        <v>45506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  <c r="H4" s="1">
        <v>1</v>
      </c>
    </row>
    <row r="5" spans="1:12">
      <c r="A5" s="1" t="s">
        <v>24</v>
      </c>
      <c r="B5" s="2">
        <v>45506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</row>
    <row r="6" spans="1:12">
      <c r="A6" s="1" t="s">
        <v>29</v>
      </c>
      <c r="B6" s="2">
        <v>45507</v>
      </c>
      <c r="C6" s="1" t="s">
        <v>15</v>
      </c>
      <c r="D6" s="1" t="s">
        <v>16</v>
      </c>
      <c r="E6" s="1" t="s">
        <v>11</v>
      </c>
      <c r="F6" s="1" t="s">
        <v>12</v>
      </c>
      <c r="G6" s="1" t="s">
        <v>30</v>
      </c>
      <c r="H6" s="1">
        <v>0</v>
      </c>
    </row>
    <row r="7" spans="1:12">
      <c r="A7" s="1" t="s">
        <v>31</v>
      </c>
      <c r="B7" s="2">
        <v>45507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19</v>
      </c>
      <c r="H7" s="1">
        <v>3</v>
      </c>
    </row>
    <row r="8" spans="1:12">
      <c r="A8" s="1" t="s">
        <v>32</v>
      </c>
      <c r="B8" s="2">
        <v>45508</v>
      </c>
      <c r="C8" s="1" t="s">
        <v>9</v>
      </c>
      <c r="D8" s="1" t="s">
        <v>21</v>
      </c>
      <c r="E8" s="1" t="s">
        <v>22</v>
      </c>
      <c r="F8" s="1" t="s">
        <v>12</v>
      </c>
      <c r="G8" s="1" t="s">
        <v>23</v>
      </c>
      <c r="H8" s="1">
        <v>1</v>
      </c>
    </row>
    <row r="9" spans="1:12">
      <c r="A9" s="1" t="s">
        <v>33</v>
      </c>
      <c r="B9" s="2">
        <v>45508</v>
      </c>
      <c r="C9" s="1" t="s">
        <v>9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2</v>
      </c>
    </row>
    <row r="10" spans="1:12">
      <c r="A10" s="1" t="s">
        <v>34</v>
      </c>
      <c r="B10" s="2">
        <v>45509</v>
      </c>
      <c r="C10" s="1" t="s">
        <v>15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0</v>
      </c>
    </row>
    <row r="11" spans="1:12">
      <c r="A11" s="1" t="s">
        <v>35</v>
      </c>
      <c r="B11" s="2">
        <v>45509</v>
      </c>
      <c r="C11" s="1" t="s">
        <v>9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0</v>
      </c>
    </row>
    <row r="12" spans="1:12">
      <c r="A12" s="1" t="s">
        <v>36</v>
      </c>
      <c r="B12" s="2">
        <v>45510</v>
      </c>
      <c r="C12" s="1" t="s">
        <v>9</v>
      </c>
      <c r="D12" s="1" t="s">
        <v>21</v>
      </c>
      <c r="E12" s="1" t="s">
        <v>22</v>
      </c>
      <c r="F12" s="1" t="s">
        <v>12</v>
      </c>
      <c r="G12" s="1" t="s">
        <v>23</v>
      </c>
      <c r="H12" s="1">
        <v>2</v>
      </c>
    </row>
    <row r="13" spans="1:12">
      <c r="A13" s="1" t="s">
        <v>37</v>
      </c>
      <c r="B13" s="2">
        <v>45510</v>
      </c>
      <c r="C13" s="1" t="s">
        <v>15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0</v>
      </c>
    </row>
    <row r="14" spans="1:12">
      <c r="A14" s="1" t="s">
        <v>38</v>
      </c>
      <c r="B14" s="2">
        <v>45511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1</v>
      </c>
    </row>
    <row r="15" spans="1:12">
      <c r="A15" s="1" t="s">
        <v>39</v>
      </c>
      <c r="B15" s="2">
        <v>45511</v>
      </c>
      <c r="C15" s="1" t="s">
        <v>9</v>
      </c>
      <c r="D15" s="1" t="s">
        <v>16</v>
      </c>
      <c r="E15" s="1" t="s">
        <v>17</v>
      </c>
      <c r="F15" s="1" t="s">
        <v>18</v>
      </c>
      <c r="G15" s="1" t="s">
        <v>19</v>
      </c>
      <c r="H15" s="1">
        <v>2</v>
      </c>
    </row>
    <row r="16" spans="1:12">
      <c r="A16" s="1" t="s">
        <v>40</v>
      </c>
      <c r="B16" s="2">
        <v>45512</v>
      </c>
      <c r="C16" s="1" t="s">
        <v>15</v>
      </c>
      <c r="D16" s="1" t="s">
        <v>21</v>
      </c>
      <c r="E16" s="1" t="s">
        <v>22</v>
      </c>
      <c r="F16" s="1" t="s">
        <v>12</v>
      </c>
      <c r="G16" s="1" t="s">
        <v>23</v>
      </c>
      <c r="H16" s="1">
        <v>0</v>
      </c>
    </row>
    <row r="17" spans="1:8">
      <c r="A17" s="1" t="s">
        <v>41</v>
      </c>
      <c r="B17" s="2">
        <v>45512</v>
      </c>
      <c r="C17" s="1" t="s">
        <v>9</v>
      </c>
      <c r="D17" s="1" t="s">
        <v>25</v>
      </c>
      <c r="E17" s="1" t="s">
        <v>26</v>
      </c>
      <c r="F17" s="1" t="s">
        <v>27</v>
      </c>
      <c r="G17" s="1" t="s">
        <v>28</v>
      </c>
      <c r="H17" s="1">
        <v>3</v>
      </c>
    </row>
    <row r="18" spans="1:8">
      <c r="A18" s="1" t="s">
        <v>42</v>
      </c>
      <c r="B18" s="2">
        <v>45513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</row>
    <row r="19" spans="1:8">
      <c r="A19" s="1" t="s">
        <v>43</v>
      </c>
      <c r="B19" s="2">
        <v>45513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>
        <v>0</v>
      </c>
    </row>
    <row r="20" spans="1:8">
      <c r="A20" s="1" t="s">
        <v>44</v>
      </c>
      <c r="B20" s="2">
        <v>45514</v>
      </c>
      <c r="C20" s="1" t="s">
        <v>9</v>
      </c>
      <c r="D20" s="1" t="s">
        <v>21</v>
      </c>
      <c r="E20" s="1" t="s">
        <v>22</v>
      </c>
      <c r="F20" s="1" t="s">
        <v>12</v>
      </c>
      <c r="G20" s="1" t="s">
        <v>23</v>
      </c>
      <c r="H20" s="1">
        <v>1</v>
      </c>
    </row>
    <row r="21" spans="1:8">
      <c r="A21" s="1" t="s">
        <v>45</v>
      </c>
      <c r="B21" s="2">
        <v>45514</v>
      </c>
      <c r="C21" s="1" t="s">
        <v>9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2</v>
      </c>
    </row>
    <row r="22" spans="1:8">
      <c r="A22" s="1" t="s">
        <v>46</v>
      </c>
      <c r="B22" s="2">
        <v>45515</v>
      </c>
      <c r="C22" s="1" t="s">
        <v>15</v>
      </c>
      <c r="D22" s="1" t="s">
        <v>10</v>
      </c>
      <c r="E22" s="1" t="s">
        <v>11</v>
      </c>
      <c r="F22" s="1" t="s">
        <v>12</v>
      </c>
      <c r="G22" s="1" t="s">
        <v>13</v>
      </c>
      <c r="H22" s="1">
        <v>0</v>
      </c>
    </row>
    <row r="23" spans="1:8">
      <c r="A23" s="1" t="s">
        <v>47</v>
      </c>
      <c r="B23" s="2">
        <v>45515</v>
      </c>
      <c r="C23" s="1" t="s">
        <v>9</v>
      </c>
      <c r="D23" s="1" t="s">
        <v>16</v>
      </c>
      <c r="E23" s="1" t="s">
        <v>17</v>
      </c>
      <c r="F23" s="1" t="s">
        <v>18</v>
      </c>
      <c r="G23" s="1" t="s">
        <v>19</v>
      </c>
      <c r="H23" s="1">
        <v>1</v>
      </c>
    </row>
    <row r="24" spans="1:8">
      <c r="A24" s="1" t="s">
        <v>48</v>
      </c>
      <c r="B24" s="2">
        <v>45516</v>
      </c>
      <c r="C24" s="1" t="s">
        <v>9</v>
      </c>
      <c r="D24" s="1" t="s">
        <v>21</v>
      </c>
      <c r="E24" s="1" t="s">
        <v>22</v>
      </c>
      <c r="F24" s="1" t="s">
        <v>12</v>
      </c>
      <c r="G24" s="1" t="s">
        <v>23</v>
      </c>
      <c r="H24" s="1">
        <v>3</v>
      </c>
    </row>
    <row r="25" spans="1:8">
      <c r="A25" s="1" t="s">
        <v>49</v>
      </c>
      <c r="B25" s="2">
        <v>45516</v>
      </c>
      <c r="C25" s="1" t="s">
        <v>15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0</v>
      </c>
    </row>
    <row r="26" spans="1:8">
      <c r="A26" s="1" t="s">
        <v>50</v>
      </c>
      <c r="B26" s="2">
        <v>45517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</v>
      </c>
    </row>
    <row r="27" spans="1:8">
      <c r="A27" s="1" t="s">
        <v>51</v>
      </c>
      <c r="B27" s="2">
        <v>45517</v>
      </c>
      <c r="C27" s="1" t="s">
        <v>9</v>
      </c>
      <c r="D27" s="1" t="s">
        <v>16</v>
      </c>
      <c r="E27" s="1" t="s">
        <v>17</v>
      </c>
      <c r="F27" s="1" t="s">
        <v>18</v>
      </c>
      <c r="G27" s="1" t="s">
        <v>19</v>
      </c>
      <c r="H27" s="1">
        <v>1</v>
      </c>
    </row>
    <row r="28" spans="1:8">
      <c r="A28" s="1" t="s">
        <v>52</v>
      </c>
      <c r="B28" s="2">
        <v>45518</v>
      </c>
      <c r="C28" s="1" t="s">
        <v>15</v>
      </c>
      <c r="D28" s="1" t="s">
        <v>21</v>
      </c>
      <c r="E28" s="1" t="s">
        <v>22</v>
      </c>
      <c r="F28" s="1" t="s">
        <v>12</v>
      </c>
      <c r="G28" s="1" t="s">
        <v>23</v>
      </c>
      <c r="H28" s="1">
        <v>0</v>
      </c>
    </row>
    <row r="29" spans="1:8">
      <c r="A29" s="1" t="s">
        <v>53</v>
      </c>
      <c r="B29" s="2">
        <v>45518</v>
      </c>
      <c r="C29" s="1" t="s">
        <v>9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2</v>
      </c>
    </row>
    <row r="30" spans="1:8">
      <c r="A30" s="1" t="s">
        <v>54</v>
      </c>
      <c r="B30" s="2">
        <v>45519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activeCell="M14" sqref="M14"/>
    </sheetView>
  </sheetViews>
  <sheetFormatPr defaultRowHeight="14"/>
  <cols>
    <col min="1" max="1" width="13.75" bestFit="1" customWidth="1"/>
    <col min="2" max="2" width="14.1640625" bestFit="1" customWidth="1"/>
  </cols>
  <sheetData>
    <row r="3" spans="1:2">
      <c r="A3" s="5" t="s">
        <v>56</v>
      </c>
      <c r="B3" t="s">
        <v>58</v>
      </c>
    </row>
    <row r="4" spans="1:2">
      <c r="A4" s="6" t="s">
        <v>31</v>
      </c>
      <c r="B4" s="7">
        <v>1</v>
      </c>
    </row>
    <row r="5" spans="1:2">
      <c r="A5" s="6" t="s">
        <v>45</v>
      </c>
      <c r="B5" s="7">
        <v>1</v>
      </c>
    </row>
    <row r="6" spans="1:2">
      <c r="A6" s="6" t="s">
        <v>29</v>
      </c>
      <c r="B6" s="7">
        <v>1</v>
      </c>
    </row>
    <row r="7" spans="1:2">
      <c r="A7" s="6" t="s">
        <v>20</v>
      </c>
      <c r="B7" s="7">
        <v>1</v>
      </c>
    </row>
    <row r="8" spans="1:2">
      <c r="A8" s="6" t="s">
        <v>42</v>
      </c>
      <c r="B8" s="7">
        <v>1</v>
      </c>
    </row>
    <row r="9" spans="1:2">
      <c r="A9" s="6" t="s">
        <v>46</v>
      </c>
      <c r="B9" s="7">
        <v>1</v>
      </c>
    </row>
    <row r="10" spans="1:2">
      <c r="A10" s="6" t="s">
        <v>35</v>
      </c>
      <c r="B10" s="7">
        <v>1</v>
      </c>
    </row>
    <row r="11" spans="1:2">
      <c r="A11" s="6" t="s">
        <v>38</v>
      </c>
      <c r="B11" s="7">
        <v>1</v>
      </c>
    </row>
    <row r="12" spans="1:2">
      <c r="A12" s="6" t="s">
        <v>36</v>
      </c>
      <c r="B12" s="7">
        <v>1</v>
      </c>
    </row>
    <row r="13" spans="1:2">
      <c r="A13" s="6" t="s">
        <v>48</v>
      </c>
      <c r="B13" s="7">
        <v>1</v>
      </c>
    </row>
    <row r="14" spans="1:2">
      <c r="A14" s="6" t="s">
        <v>49</v>
      </c>
      <c r="B14" s="7">
        <v>1</v>
      </c>
    </row>
    <row r="15" spans="1:2">
      <c r="A15" s="6" t="s">
        <v>14</v>
      </c>
      <c r="B15" s="7">
        <v>1</v>
      </c>
    </row>
    <row r="16" spans="1:2">
      <c r="A16" s="6" t="s">
        <v>50</v>
      </c>
      <c r="B16" s="7">
        <v>1</v>
      </c>
    </row>
    <row r="17" spans="1:2">
      <c r="A17" s="6" t="s">
        <v>52</v>
      </c>
      <c r="B17" s="7">
        <v>1</v>
      </c>
    </row>
    <row r="18" spans="1:2">
      <c r="A18" s="6" t="s">
        <v>24</v>
      </c>
      <c r="B18" s="7">
        <v>1</v>
      </c>
    </row>
    <row r="19" spans="1:2">
      <c r="A19" s="6" t="s">
        <v>32</v>
      </c>
      <c r="B19" s="7">
        <v>1</v>
      </c>
    </row>
    <row r="20" spans="1:2">
      <c r="A20" s="6" t="s">
        <v>8</v>
      </c>
      <c r="B20" s="7">
        <v>1</v>
      </c>
    </row>
    <row r="21" spans="1:2">
      <c r="A21" s="6" t="s">
        <v>47</v>
      </c>
      <c r="B21" s="7">
        <v>1</v>
      </c>
    </row>
    <row r="22" spans="1:2">
      <c r="A22" s="6" t="s">
        <v>44</v>
      </c>
      <c r="B22" s="7">
        <v>1</v>
      </c>
    </row>
    <row r="23" spans="1:2">
      <c r="A23" s="6" t="s">
        <v>40</v>
      </c>
      <c r="B23" s="7">
        <v>1</v>
      </c>
    </row>
    <row r="24" spans="1:2">
      <c r="A24" s="6" t="s">
        <v>54</v>
      </c>
      <c r="B24" s="7">
        <v>1</v>
      </c>
    </row>
    <row r="25" spans="1:2">
      <c r="A25" s="6" t="s">
        <v>39</v>
      </c>
      <c r="B25" s="7">
        <v>1</v>
      </c>
    </row>
    <row r="26" spans="1:2">
      <c r="A26" s="6" t="s">
        <v>53</v>
      </c>
      <c r="B26" s="7">
        <v>1</v>
      </c>
    </row>
    <row r="27" spans="1:2">
      <c r="A27" s="6" t="s">
        <v>41</v>
      </c>
      <c r="B27" s="7">
        <v>1</v>
      </c>
    </row>
    <row r="28" spans="1:2">
      <c r="A28" s="6" t="s">
        <v>33</v>
      </c>
      <c r="B28" s="7">
        <v>1</v>
      </c>
    </row>
    <row r="29" spans="1:2">
      <c r="A29" s="6" t="s">
        <v>37</v>
      </c>
      <c r="B29" s="7">
        <v>1</v>
      </c>
    </row>
    <row r="30" spans="1:2">
      <c r="A30" s="6" t="s">
        <v>51</v>
      </c>
      <c r="B30" s="7">
        <v>1</v>
      </c>
    </row>
    <row r="31" spans="1:2">
      <c r="A31" s="6" t="s">
        <v>43</v>
      </c>
      <c r="B31" s="7">
        <v>1</v>
      </c>
    </row>
    <row r="32" spans="1:2">
      <c r="A32" s="6" t="s">
        <v>34</v>
      </c>
      <c r="B32" s="7">
        <v>1</v>
      </c>
    </row>
    <row r="33" spans="1:2">
      <c r="A33" s="6" t="s">
        <v>57</v>
      </c>
      <c r="B33" s="7">
        <v>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74" zoomScaleNormal="74" workbookViewId="0">
      <selection activeCell="L14" sqref="L14"/>
    </sheetView>
  </sheetViews>
  <sheetFormatPr defaultRowHeight="14"/>
  <cols>
    <col min="1" max="8" width="16.08203125" customWidth="1"/>
  </cols>
  <sheetData>
    <row r="1" spans="1:8" ht="17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7.5" customHeight="1">
      <c r="A2" s="1" t="s">
        <v>8</v>
      </c>
      <c r="B2" s="2">
        <v>45505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</v>
      </c>
    </row>
    <row r="3" spans="1:8" ht="17.5" customHeight="1">
      <c r="A3" s="1" t="s">
        <v>14</v>
      </c>
      <c r="B3" s="2">
        <v>45505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</v>
      </c>
    </row>
    <row r="4" spans="1:8" ht="17.5" customHeight="1">
      <c r="A4" s="1" t="s">
        <v>20</v>
      </c>
      <c r="B4" s="2">
        <v>45506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  <c r="H4" s="1">
        <v>1</v>
      </c>
    </row>
    <row r="5" spans="1:8" ht="17.5" customHeight="1">
      <c r="A5" s="1" t="s">
        <v>24</v>
      </c>
      <c r="B5" s="2">
        <v>45506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</row>
    <row r="6" spans="1:8" ht="17.5" customHeight="1">
      <c r="A6" s="1" t="s">
        <v>29</v>
      </c>
      <c r="B6" s="2">
        <v>45507</v>
      </c>
      <c r="C6" s="1" t="s">
        <v>15</v>
      </c>
      <c r="D6" s="1" t="s">
        <v>16</v>
      </c>
      <c r="E6" s="1" t="s">
        <v>11</v>
      </c>
      <c r="F6" s="1" t="s">
        <v>12</v>
      </c>
      <c r="G6" s="1" t="s">
        <v>30</v>
      </c>
      <c r="H6" s="1">
        <v>0</v>
      </c>
    </row>
    <row r="7" spans="1:8" ht="17.5" customHeight="1">
      <c r="A7" s="1" t="s">
        <v>31</v>
      </c>
      <c r="B7" s="2">
        <v>45507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19</v>
      </c>
      <c r="H7" s="1">
        <v>3</v>
      </c>
    </row>
    <row r="8" spans="1:8" ht="17.5" customHeight="1">
      <c r="A8" s="1" t="s">
        <v>32</v>
      </c>
      <c r="B8" s="2">
        <v>45508</v>
      </c>
      <c r="C8" s="1" t="s">
        <v>9</v>
      </c>
      <c r="D8" s="1" t="s">
        <v>21</v>
      </c>
      <c r="E8" s="1" t="s">
        <v>22</v>
      </c>
      <c r="F8" s="1" t="s">
        <v>12</v>
      </c>
      <c r="G8" s="1" t="s">
        <v>23</v>
      </c>
      <c r="H8" s="1">
        <v>1</v>
      </c>
    </row>
    <row r="9" spans="1:8" ht="17.5" customHeight="1">
      <c r="A9" s="1" t="s">
        <v>33</v>
      </c>
      <c r="B9" s="2">
        <v>45508</v>
      </c>
      <c r="C9" s="1" t="s">
        <v>9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2</v>
      </c>
    </row>
    <row r="10" spans="1:8" ht="17.5" customHeight="1">
      <c r="A10" s="1" t="s">
        <v>34</v>
      </c>
      <c r="B10" s="2">
        <v>45509</v>
      </c>
      <c r="C10" s="1" t="s">
        <v>15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0</v>
      </c>
    </row>
    <row r="11" spans="1:8" ht="17.5" customHeight="1">
      <c r="A11" s="1" t="s">
        <v>35</v>
      </c>
      <c r="B11" s="2">
        <v>45509</v>
      </c>
      <c r="C11" s="1" t="s">
        <v>9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0</v>
      </c>
    </row>
    <row r="12" spans="1:8" ht="17.5" customHeight="1">
      <c r="A12" s="1" t="s">
        <v>36</v>
      </c>
      <c r="B12" s="2">
        <v>45510</v>
      </c>
      <c r="C12" s="1" t="s">
        <v>9</v>
      </c>
      <c r="D12" s="1" t="s">
        <v>21</v>
      </c>
      <c r="E12" s="1" t="s">
        <v>22</v>
      </c>
      <c r="F12" s="1" t="s">
        <v>12</v>
      </c>
      <c r="G12" s="1" t="s">
        <v>23</v>
      </c>
      <c r="H12" s="1">
        <v>2</v>
      </c>
    </row>
    <row r="13" spans="1:8" ht="17.5" customHeight="1">
      <c r="A13" s="1" t="s">
        <v>37</v>
      </c>
      <c r="B13" s="2">
        <v>45510</v>
      </c>
      <c r="C13" s="1" t="s">
        <v>15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0</v>
      </c>
    </row>
    <row r="14" spans="1:8" ht="17.5" customHeight="1">
      <c r="A14" s="1" t="s">
        <v>38</v>
      </c>
      <c r="B14" s="2">
        <v>45511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1</v>
      </c>
    </row>
    <row r="15" spans="1:8" ht="17.5" customHeight="1">
      <c r="A15" s="1" t="s">
        <v>39</v>
      </c>
      <c r="B15" s="2">
        <v>45511</v>
      </c>
      <c r="C15" s="1" t="s">
        <v>9</v>
      </c>
      <c r="D15" s="1" t="s">
        <v>16</v>
      </c>
      <c r="E15" s="1" t="s">
        <v>17</v>
      </c>
      <c r="F15" s="1" t="s">
        <v>18</v>
      </c>
      <c r="G15" s="1" t="s">
        <v>19</v>
      </c>
      <c r="H15" s="1">
        <v>2</v>
      </c>
    </row>
    <row r="16" spans="1:8" ht="17.5" customHeight="1">
      <c r="A16" s="1" t="s">
        <v>40</v>
      </c>
      <c r="B16" s="2">
        <v>45512</v>
      </c>
      <c r="C16" s="1" t="s">
        <v>15</v>
      </c>
      <c r="D16" s="1" t="s">
        <v>21</v>
      </c>
      <c r="E16" s="1" t="s">
        <v>22</v>
      </c>
      <c r="F16" s="1" t="s">
        <v>12</v>
      </c>
      <c r="G16" s="1" t="s">
        <v>23</v>
      </c>
      <c r="H16" s="1">
        <v>0</v>
      </c>
    </row>
    <row r="17" spans="1:8" ht="17.5" customHeight="1">
      <c r="A17" s="1" t="s">
        <v>41</v>
      </c>
      <c r="B17" s="2">
        <v>45512</v>
      </c>
      <c r="C17" s="1" t="s">
        <v>9</v>
      </c>
      <c r="D17" s="1" t="s">
        <v>25</v>
      </c>
      <c r="E17" s="1" t="s">
        <v>26</v>
      </c>
      <c r="F17" s="1" t="s">
        <v>27</v>
      </c>
      <c r="G17" s="1" t="s">
        <v>28</v>
      </c>
      <c r="H17" s="1">
        <v>3</v>
      </c>
    </row>
    <row r="18" spans="1:8" ht="17.5" customHeight="1">
      <c r="A18" s="1" t="s">
        <v>42</v>
      </c>
      <c r="B18" s="2">
        <v>45513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</row>
    <row r="19" spans="1:8" ht="17.5" customHeight="1">
      <c r="A19" s="1" t="s">
        <v>43</v>
      </c>
      <c r="B19" s="2">
        <v>45513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>
        <v>0</v>
      </c>
    </row>
    <row r="20" spans="1:8" ht="17.5" customHeight="1">
      <c r="A20" s="1" t="s">
        <v>44</v>
      </c>
      <c r="B20" s="2">
        <v>45514</v>
      </c>
      <c r="C20" s="1" t="s">
        <v>9</v>
      </c>
      <c r="D20" s="1" t="s">
        <v>21</v>
      </c>
      <c r="E20" s="1" t="s">
        <v>22</v>
      </c>
      <c r="F20" s="1" t="s">
        <v>12</v>
      </c>
      <c r="G20" s="1" t="s">
        <v>23</v>
      </c>
      <c r="H20" s="1">
        <v>1</v>
      </c>
    </row>
    <row r="21" spans="1:8" ht="17.5" customHeight="1">
      <c r="A21" s="1" t="s">
        <v>45</v>
      </c>
      <c r="B21" s="2">
        <v>45514</v>
      </c>
      <c r="C21" s="1" t="s">
        <v>9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2</v>
      </c>
    </row>
    <row r="22" spans="1:8" ht="17.5" customHeight="1">
      <c r="A22" s="1" t="s">
        <v>46</v>
      </c>
      <c r="B22" s="2">
        <v>45515</v>
      </c>
      <c r="C22" s="1" t="s">
        <v>15</v>
      </c>
      <c r="D22" s="1" t="s">
        <v>10</v>
      </c>
      <c r="E22" s="1" t="s">
        <v>11</v>
      </c>
      <c r="F22" s="1" t="s">
        <v>12</v>
      </c>
      <c r="G22" s="1" t="s">
        <v>13</v>
      </c>
      <c r="H22" s="1">
        <v>0</v>
      </c>
    </row>
    <row r="23" spans="1:8" ht="17.5" customHeight="1">
      <c r="A23" s="1" t="s">
        <v>47</v>
      </c>
      <c r="B23" s="2">
        <v>45515</v>
      </c>
      <c r="C23" s="1" t="s">
        <v>9</v>
      </c>
      <c r="D23" s="1" t="s">
        <v>16</v>
      </c>
      <c r="E23" s="1" t="s">
        <v>17</v>
      </c>
      <c r="F23" s="1" t="s">
        <v>18</v>
      </c>
      <c r="G23" s="1" t="s">
        <v>19</v>
      </c>
      <c r="H23" s="1">
        <v>1</v>
      </c>
    </row>
    <row r="24" spans="1:8" ht="17.5" customHeight="1">
      <c r="A24" s="1" t="s">
        <v>48</v>
      </c>
      <c r="B24" s="2">
        <v>45516</v>
      </c>
      <c r="C24" s="1" t="s">
        <v>9</v>
      </c>
      <c r="D24" s="1" t="s">
        <v>21</v>
      </c>
      <c r="E24" s="1" t="s">
        <v>22</v>
      </c>
      <c r="F24" s="1" t="s">
        <v>12</v>
      </c>
      <c r="G24" s="1" t="s">
        <v>23</v>
      </c>
      <c r="H24" s="1">
        <v>3</v>
      </c>
    </row>
    <row r="25" spans="1:8" ht="17.5" customHeight="1">
      <c r="A25" s="1" t="s">
        <v>49</v>
      </c>
      <c r="B25" s="2">
        <v>45516</v>
      </c>
      <c r="C25" s="1" t="s">
        <v>15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0</v>
      </c>
    </row>
    <row r="26" spans="1:8" ht="17.5" customHeight="1">
      <c r="A26" s="1" t="s">
        <v>50</v>
      </c>
      <c r="B26" s="2">
        <v>45517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</v>
      </c>
    </row>
    <row r="27" spans="1:8" ht="17.5" customHeight="1">
      <c r="A27" s="1" t="s">
        <v>51</v>
      </c>
      <c r="B27" s="2">
        <v>45517</v>
      </c>
      <c r="C27" s="1" t="s">
        <v>9</v>
      </c>
      <c r="D27" s="1" t="s">
        <v>16</v>
      </c>
      <c r="E27" s="1" t="s">
        <v>17</v>
      </c>
      <c r="F27" s="1" t="s">
        <v>18</v>
      </c>
      <c r="G27" s="1" t="s">
        <v>19</v>
      </c>
      <c r="H27" s="1">
        <v>1</v>
      </c>
    </row>
    <row r="28" spans="1:8" ht="17.5" customHeight="1">
      <c r="A28" s="1" t="s">
        <v>52</v>
      </c>
      <c r="B28" s="2">
        <v>45518</v>
      </c>
      <c r="C28" s="1" t="s">
        <v>15</v>
      </c>
      <c r="D28" s="1" t="s">
        <v>21</v>
      </c>
      <c r="E28" s="1" t="s">
        <v>22</v>
      </c>
      <c r="F28" s="1" t="s">
        <v>12</v>
      </c>
      <c r="G28" s="1" t="s">
        <v>23</v>
      </c>
      <c r="H28" s="1">
        <v>0</v>
      </c>
    </row>
    <row r="29" spans="1:8" ht="17.5" customHeight="1">
      <c r="A29" s="1" t="s">
        <v>53</v>
      </c>
      <c r="B29" s="2">
        <v>45518</v>
      </c>
      <c r="C29" s="1" t="s">
        <v>9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2</v>
      </c>
    </row>
    <row r="30" spans="1:8" ht="17.5" customHeight="1">
      <c r="A30" s="1" t="s">
        <v>54</v>
      </c>
      <c r="B30" s="2">
        <v>45519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Employee_Attendance</vt:lpstr>
      <vt:lpstr>Absent_days</vt:lpstr>
      <vt:lpstr>working_days</vt:lpstr>
      <vt:lpstr>Attendance_summary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DELL</cp:lastModifiedBy>
  <dcterms:created xsi:type="dcterms:W3CDTF">2024-09-09T10:49:38Z</dcterms:created>
  <dcterms:modified xsi:type="dcterms:W3CDTF">2026-04-17T20:19:03Z</dcterms:modified>
</cp:coreProperties>
</file>